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RMACTECHX\BTN\"/>
    </mc:Choice>
  </mc:AlternateContent>
  <xr:revisionPtr revIDLastSave="0" documentId="13_ncr:1_{2D025CF4-A2FC-4210-9591-6D16D537B651}" xr6:coauthVersionLast="47" xr6:coauthVersionMax="47" xr10:uidLastSave="{00000000-0000-0000-0000-000000000000}"/>
  <bookViews>
    <workbookView xWindow="-110" yWindow="-110" windowWidth="19420" windowHeight="10300" xr2:uid="{94771BE7-39CD-466F-9E66-933755190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1" l="1"/>
  <c r="B3" i="1"/>
  <c r="C3" i="1"/>
  <c r="A3" i="1"/>
  <c r="D2" i="1"/>
  <c r="D1" i="1"/>
  <c r="D3" i="1" l="1"/>
  <c r="C4" i="1" l="1"/>
  <c r="C5" i="1" s="1"/>
  <c r="B4" i="1"/>
  <c r="B5" i="1" s="1"/>
  <c r="A4" i="1"/>
  <c r="B6" i="1" l="1"/>
  <c r="B7" i="1" s="1"/>
  <c r="B11" i="1"/>
  <c r="C6" i="1"/>
  <c r="C7" i="1" s="1"/>
  <c r="C11" i="1"/>
  <c r="A5" i="1"/>
  <c r="D4" i="1"/>
  <c r="A6" i="1" l="1"/>
  <c r="D6" i="1" s="1"/>
  <c r="A11" i="1"/>
  <c r="D5" i="1"/>
  <c r="D11" i="1" s="1"/>
  <c r="A7" i="1" l="1"/>
  <c r="D7" i="1" s="1"/>
  <c r="A8" i="1" l="1"/>
  <c r="C8" i="1"/>
  <c r="B8" i="1"/>
  <c r="D8" i="1" l="1"/>
  <c r="B9" i="1" s="1"/>
  <c r="A9" i="1" l="1"/>
  <c r="C9" i="1"/>
  <c r="D9" i="1"/>
  <c r="D10" i="1" l="1"/>
  <c r="C10" i="1"/>
  <c r="B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%"/>
    <numFmt numFmtId="179" formatCode="0.00;[Red]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F0CE-0AD5-473B-9AFE-B227C6B6F21A}">
  <dimension ref="A1:D11"/>
  <sheetViews>
    <sheetView tabSelected="1" workbookViewId="0"/>
  </sheetViews>
  <sheetFormatPr defaultRowHeight="14.5" x14ac:dyDescent="0.35"/>
  <cols>
    <col min="1" max="1" width="10.81640625" style="1" customWidth="1"/>
    <col min="2" max="2" width="9.7265625" style="1" bestFit="1" customWidth="1"/>
    <col min="3" max="3" width="9.81640625" style="1" bestFit="1" customWidth="1"/>
    <col min="4" max="16384" width="8.7265625" style="1"/>
  </cols>
  <sheetData>
    <row r="1" spans="1:4" x14ac:dyDescent="0.35">
      <c r="A1" s="1">
        <v>28</v>
      </c>
      <c r="B1" s="1">
        <v>32</v>
      </c>
      <c r="C1" s="1">
        <v>40</v>
      </c>
      <c r="D1" s="1">
        <f>SUM(A1:C1)</f>
        <v>100</v>
      </c>
    </row>
    <row r="2" spans="1:4" x14ac:dyDescent="0.35">
      <c r="A2" s="1">
        <v>3</v>
      </c>
      <c r="B2" s="1">
        <v>3.6</v>
      </c>
      <c r="C2" s="1">
        <v>2.0499999999999998</v>
      </c>
      <c r="D2" s="1">
        <f>SUM(A2:C2)</f>
        <v>8.6499999999999986</v>
      </c>
    </row>
    <row r="3" spans="1:4" x14ac:dyDescent="0.35">
      <c r="A3" s="2">
        <f>1/A2</f>
        <v>0.33333333333333331</v>
      </c>
      <c r="B3" s="2">
        <f t="shared" ref="B3:C4" si="0">1/B2</f>
        <v>0.27777777777777779</v>
      </c>
      <c r="C3" s="2">
        <f t="shared" si="0"/>
        <v>0.48780487804878053</v>
      </c>
      <c r="D3" s="2">
        <f>SUM(A3:C3)</f>
        <v>1.0989159891598916</v>
      </c>
    </row>
    <row r="4" spans="1:4" x14ac:dyDescent="0.35">
      <c r="A4" s="3">
        <f>A3/$D3</f>
        <v>0.30332922318125766</v>
      </c>
      <c r="B4" s="3">
        <f>B3/$D3</f>
        <v>0.25277435265104808</v>
      </c>
      <c r="C4" s="3">
        <f>C3/$D3</f>
        <v>0.4438964241676942</v>
      </c>
      <c r="D4" s="2">
        <f>SUM(A4:C4)</f>
        <v>1</v>
      </c>
    </row>
    <row r="5" spans="1:4" x14ac:dyDescent="0.35">
      <c r="A5" s="2">
        <f>AVERAGE((A1/$D1),A4)</f>
        <v>0.29166461159062884</v>
      </c>
      <c r="B5" s="2">
        <f t="shared" ref="B5:C5" si="1">AVERAGE((B1/$D1),B4)</f>
        <v>0.28638717632552402</v>
      </c>
      <c r="C5" s="2">
        <f t="shared" si="1"/>
        <v>0.42194821208384714</v>
      </c>
      <c r="D5" s="2">
        <f t="shared" ref="D5:D8" si="2">SUM(A5:C5)</f>
        <v>1</v>
      </c>
    </row>
    <row r="6" spans="1:4" x14ac:dyDescent="0.35">
      <c r="A6" s="13">
        <f>A4-A5</f>
        <v>1.1664611590628815E-2</v>
      </c>
      <c r="B6" s="13">
        <f t="shared" ref="B6:C6" si="3">B4-B5</f>
        <v>-3.3612823674475933E-2</v>
      </c>
      <c r="C6" s="13">
        <f t="shared" si="3"/>
        <v>2.1948212083847063E-2</v>
      </c>
      <c r="D6" s="8">
        <f t="shared" si="2"/>
        <v>-5.5511151231257827E-17</v>
      </c>
    </row>
    <row r="7" spans="1:4" x14ac:dyDescent="0.35">
      <c r="A7" s="9">
        <f>ABS(A6)</f>
        <v>1.1664611590628815E-2</v>
      </c>
      <c r="B7" s="9">
        <f t="shared" ref="B7:C7" si="4">ABS(B6)</f>
        <v>3.3612823674475933E-2</v>
      </c>
      <c r="C7" s="9">
        <f t="shared" si="4"/>
        <v>2.1948212083847063E-2</v>
      </c>
      <c r="D7" s="5">
        <f t="shared" si="2"/>
        <v>6.7225647348951811E-2</v>
      </c>
    </row>
    <row r="8" spans="1:4" x14ac:dyDescent="0.35">
      <c r="A8" s="9">
        <f>$D7-A7</f>
        <v>5.5561035758322996E-2</v>
      </c>
      <c r="B8" s="9">
        <f t="shared" ref="B8" si="5">$D7-B7</f>
        <v>3.3612823674475878E-2</v>
      </c>
      <c r="C8" s="9">
        <f>$D7-C7</f>
        <v>4.5277435265104748E-2</v>
      </c>
      <c r="D8" s="5">
        <f t="shared" si="2"/>
        <v>0.13445129469790362</v>
      </c>
    </row>
    <row r="9" spans="1:4" ht="18.5" x14ac:dyDescent="0.35">
      <c r="A9" s="7">
        <f>AVERAGE((A8/$D8),(A7/$D7))</f>
        <v>0.29337857666911216</v>
      </c>
      <c r="B9" s="7">
        <f>AVERAGE((B8/$D8),(B7/$D7))</f>
        <v>0.37500000000000011</v>
      </c>
      <c r="C9" s="7">
        <f>AVERAGE((C8/$D8),(C7/$D7))</f>
        <v>0.33162142333088773</v>
      </c>
      <c r="D9" s="7">
        <f>D8/$D8</f>
        <v>1</v>
      </c>
    </row>
    <row r="10" spans="1:4" ht="18.5" x14ac:dyDescent="0.35">
      <c r="A10" s="12" t="str">
        <f>IF(A9=MAX($A9:$C9),"HM","-")</f>
        <v>-</v>
      </c>
      <c r="B10" s="11" t="str">
        <f>IF(B9=MAX($A9:$C9),"DRW","-")</f>
        <v>DRW</v>
      </c>
      <c r="C10" s="10" t="str">
        <f>IF(C9=MAX($A9:$C9),"AW","-")</f>
        <v>-</v>
      </c>
      <c r="D10" s="4">
        <f>((A9+B9)/(C9+B9))-1</f>
        <v>-5.4120700843608205E-2</v>
      </c>
    </row>
    <row r="11" spans="1:4" ht="15.5" x14ac:dyDescent="0.35">
      <c r="A11" s="6">
        <f>AVERAGE(A4:A5)</f>
        <v>0.29749691738594325</v>
      </c>
      <c r="B11" s="6">
        <f t="shared" ref="B11:D11" si="6">AVERAGE(B4:B5)</f>
        <v>0.26958076448828605</v>
      </c>
      <c r="C11" s="6">
        <f t="shared" si="6"/>
        <v>0.43292231812577064</v>
      </c>
      <c r="D11" s="6">
        <f t="shared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Maige</dc:creator>
  <cp:lastModifiedBy>George Maige</cp:lastModifiedBy>
  <dcterms:created xsi:type="dcterms:W3CDTF">2026-05-21T20:41:03Z</dcterms:created>
  <dcterms:modified xsi:type="dcterms:W3CDTF">2026-05-21T21:57:32Z</dcterms:modified>
</cp:coreProperties>
</file>