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AI\OpenCode\Betiq Pro\"/>
    </mc:Choice>
  </mc:AlternateContent>
  <xr:revisionPtr revIDLastSave="0" documentId="13_ncr:1_{0C08B6C1-1279-4651-9AD8-0258E9BA79B7}" xr6:coauthVersionLast="47" xr6:coauthVersionMax="47" xr10:uidLastSave="{00000000-0000-0000-0000-000000000000}"/>
  <bookViews>
    <workbookView xWindow="-110" yWindow="-110" windowWidth="19420" windowHeight="10300" xr2:uid="{94771BE7-39CD-466F-9E66-933755190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B3" i="1"/>
  <c r="C3" i="1"/>
  <c r="D2" i="1"/>
  <c r="D1" i="1"/>
  <c r="D3" i="1" l="1"/>
  <c r="A4" i="1" l="1"/>
  <c r="A5" i="1" s="1"/>
  <c r="A6" i="1" s="1"/>
  <c r="A7" i="1" s="1"/>
  <c r="C4" i="1"/>
  <c r="C5" i="1" s="1"/>
  <c r="B4" i="1"/>
  <c r="B5" i="1" s="1"/>
  <c r="B6" i="1" l="1"/>
  <c r="B7" i="1" s="1"/>
  <c r="B11" i="1"/>
  <c r="C6" i="1"/>
  <c r="C7" i="1" s="1"/>
  <c r="C11" i="1"/>
  <c r="A11" i="1"/>
  <c r="D4" i="1"/>
  <c r="D7" i="1" l="1"/>
  <c r="D6" i="1"/>
  <c r="D5" i="1"/>
  <c r="D11" i="1" s="1"/>
  <c r="B8" i="1" l="1"/>
  <c r="A8" i="1"/>
  <c r="C8" i="1"/>
  <c r="D8" i="1" l="1"/>
  <c r="A9" i="1" s="1"/>
  <c r="A12" i="1" s="1"/>
  <c r="B9" i="1" l="1"/>
  <c r="B12" i="1" s="1"/>
  <c r="C9" i="1"/>
  <c r="C12" i="1" s="1"/>
  <c r="D9" i="1"/>
  <c r="C10" i="1" l="1"/>
  <c r="D10" i="1"/>
  <c r="A10" i="1"/>
  <c r="B10" i="1"/>
</calcChain>
</file>

<file path=xl/sharedStrings.xml><?xml version="1.0" encoding="utf-8"?>
<sst xmlns="http://schemas.openxmlformats.org/spreadsheetml/2006/main" count="12" uniqueCount="12">
  <si>
    <t>Model Odds/probs</t>
  </si>
  <si>
    <t>Model odds</t>
  </si>
  <si>
    <t>Bookie's probs+vig</t>
  </si>
  <si>
    <t>Bookie's Odds+vig</t>
  </si>
  <si>
    <t>Bookie's odds-vig</t>
  </si>
  <si>
    <t>BK-Model (Bookie fav)</t>
  </si>
  <si>
    <t>Absolute differences</t>
  </si>
  <si>
    <t>Deviation from total ABS</t>
  </si>
  <si>
    <t>average convergance</t>
  </si>
  <si>
    <t>Results based on max value</t>
  </si>
  <si>
    <t>average probs (model vs BK)</t>
  </si>
  <si>
    <t>average odds (model vs BK)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</si>
</sst>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;[Red]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9" fontId="1" fillId="0" borderId="0" xfId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9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6F0CE-0AD5-473B-9AFE-B227C6B6F21A}">
  <dimension ref="A1:E12"/>
  <sheetViews>
    <sheetView tabSelected="1" workbookViewId="0">
      <selection activeCell="B1" sqref="B1"/>
    </sheetView>
  </sheetViews>
  <sheetFormatPr defaultRowHeight="14.5" x14ac:dyDescent="0.35"/>
  <cols>
    <col min="1" max="1" width="10.81640625" style="1" customWidth="1"/>
    <col min="2" max="2" width="9.7265625" style="1" bestFit="1" customWidth="1"/>
    <col min="3" max="3" width="9.81640625" style="1" bestFit="1" customWidth="1"/>
    <col min="4" max="4" width="8.7265625" style="1"/>
    <col min="5" max="5" width="24.6328125" style="16" bestFit="1" customWidth="1"/>
    <col min="6" max="16384" width="8.7265625" style="1"/>
  </cols>
  <sheetData>
    <row r="1" spans="1:5" x14ac:dyDescent="0.35">
      <c r="A1" s="1">
        <v>41</v>
      </c>
      <c r="B1" s="1">
        <v>27</v>
      </c>
      <c r="C1" s="1">
        <v>45</v>
      </c>
      <c r="D1" s="1">
        <f>SUM(A1:C1)</f>
        <v>113</v>
      </c>
      <c r="E1" s="16" t="s">
        <v>0</v>
      </c>
    </row>
    <row r="2" spans="1:5" x14ac:dyDescent="0.35">
      <c r="A2" s="1">
        <v>1.85</v>
      </c>
      <c r="B2" s="1">
        <v>3.5</v>
      </c>
      <c r="C2" s="1">
        <v>3.3</v>
      </c>
      <c r="D2" s="1">
        <f>SUM(A2:C2)</f>
        <v>8.6499999999999986</v>
      </c>
      <c r="E2" s="16" t="s">
        <v>3</v>
      </c>
    </row>
    <row r="3" spans="1:5" x14ac:dyDescent="0.35">
      <c r="A3" s="2">
        <f>1/A2</f>
        <v>0.54054054054054046</v>
      </c>
      <c r="B3" s="2">
        <f t="shared" ref="B3:C3" si="0">1/B2</f>
        <v>0.2857142857142857</v>
      </c>
      <c r="C3" s="2">
        <f t="shared" si="0"/>
        <v>0.30303030303030304</v>
      </c>
      <c r="D3" s="2">
        <f>SUM(A3:C3)</f>
        <v>1.1292851292851291</v>
      </c>
      <c r="E3" s="16" t="s">
        <v>2</v>
      </c>
    </row>
    <row r="4" spans="1:5" x14ac:dyDescent="0.35">
      <c r="A4" s="3">
        <f>A3/$D3</f>
        <v>0.4786572731040199</v>
      </c>
      <c r="B4" s="3">
        <f>B3/$D3</f>
        <v>0.25300455864069626</v>
      </c>
      <c r="C4" s="3">
        <f>C3/$D3</f>
        <v>0.26833816825528389</v>
      </c>
      <c r="D4" s="2">
        <f>SUM(A4:C4)</f>
        <v>1</v>
      </c>
      <c r="E4" s="16" t="s">
        <v>4</v>
      </c>
    </row>
    <row r="5" spans="1:5" x14ac:dyDescent="0.35">
      <c r="A5" s="15">
        <f>AVERAGE((A1/$D1),A4)</f>
        <v>0.42074456575554975</v>
      </c>
      <c r="B5" s="15">
        <f t="shared" ref="B5:C5" si="1">AVERAGE((B1/$D1),B4)</f>
        <v>0.24597130586902072</v>
      </c>
      <c r="C5" s="15">
        <f>AVERAGE((C1/$D1),C4)</f>
        <v>0.33328412837542953</v>
      </c>
      <c r="D5" s="2">
        <f t="shared" ref="D5:D8" si="2">SUM(A5:C5)</f>
        <v>1</v>
      </c>
      <c r="E5" s="16" t="s">
        <v>1</v>
      </c>
    </row>
    <row r="6" spans="1:5" x14ac:dyDescent="0.35">
      <c r="A6" s="13">
        <f>A4-A5</f>
        <v>5.7912707348470149E-2</v>
      </c>
      <c r="B6" s="13">
        <f t="shared" ref="B6:C6" si="3">B4-B5</f>
        <v>7.0332527716755466E-3</v>
      </c>
      <c r="C6" s="13">
        <f t="shared" si="3"/>
        <v>-6.494596012014564E-2</v>
      </c>
      <c r="D6" s="8">
        <f t="shared" si="2"/>
        <v>0</v>
      </c>
      <c r="E6" s="16" t="s">
        <v>5</v>
      </c>
    </row>
    <row r="7" spans="1:5" x14ac:dyDescent="0.35">
      <c r="A7" s="9">
        <f>ABS(A6)</f>
        <v>5.7912707348470149E-2</v>
      </c>
      <c r="B7" s="9">
        <f t="shared" ref="B7:C7" si="4">ABS(B6)</f>
        <v>7.0332527716755466E-3</v>
      </c>
      <c r="C7" s="9">
        <f t="shared" si="4"/>
        <v>6.494596012014564E-2</v>
      </c>
      <c r="D7" s="5">
        <f>SUM(A7:C7)</f>
        <v>0.12989192024029134</v>
      </c>
      <c r="E7" s="16" t="s">
        <v>6</v>
      </c>
    </row>
    <row r="8" spans="1:5" x14ac:dyDescent="0.35">
      <c r="A8" s="9">
        <f>$D7-A7</f>
        <v>7.1979212891821187E-2</v>
      </c>
      <c r="B8" s="9">
        <f>$D7-B7</f>
        <v>0.12285866746861579</v>
      </c>
      <c r="C8" s="9">
        <f>$D7-C7</f>
        <v>6.4945960120145696E-2</v>
      </c>
      <c r="D8" s="5">
        <f t="shared" si="2"/>
        <v>0.25978384048058267</v>
      </c>
      <c r="E8" s="16" t="s">
        <v>7</v>
      </c>
    </row>
    <row r="9" spans="1:5" ht="18.5" x14ac:dyDescent="0.35">
      <c r="A9" s="14">
        <f>AVERAGE((A8/$D8),(A7/$D7))</f>
        <v>0.36146325968800741</v>
      </c>
      <c r="B9" s="14">
        <f>AVERAGE((B8/$D8),(B7/$D7))</f>
        <v>0.26353674031199265</v>
      </c>
      <c r="C9" s="14">
        <f>AVERAGE((C8/$D8),(C7/$D7))</f>
        <v>0.37499999999999994</v>
      </c>
      <c r="D9" s="7">
        <f>D8/$D8</f>
        <v>1</v>
      </c>
      <c r="E9" s="16" t="s">
        <v>8</v>
      </c>
    </row>
    <row r="10" spans="1:5" ht="18.5" x14ac:dyDescent="0.35">
      <c r="A10" s="12" t="str">
        <f>IF(A9=MAX($A9:$C9),"HM","-")</f>
        <v>-</v>
      </c>
      <c r="B10" s="11" t="str">
        <f>IF(B9=MAX($A9:$C9),"DRW","-")</f>
        <v>-</v>
      </c>
      <c r="C10" s="10" t="str">
        <f>IF(C9=MAX($A9:$C9),"AW","-")</f>
        <v>AW</v>
      </c>
      <c r="D10" s="4">
        <f>((A9+B9)/(C9+B9))-1</f>
        <v>-2.1199626360385304E-2</v>
      </c>
      <c r="E10" s="16" t="s">
        <v>9</v>
      </c>
    </row>
    <row r="11" spans="1:5" ht="15.5" x14ac:dyDescent="0.35">
      <c r="A11" s="6">
        <f>AVERAGE(A4:A5)</f>
        <v>0.44970091942978485</v>
      </c>
      <c r="B11" s="6">
        <f t="shared" ref="B11:D11" si="5">AVERAGE(B4:B5)</f>
        <v>0.24948793225485849</v>
      </c>
      <c r="C11" s="6">
        <f t="shared" si="5"/>
        <v>0.30081114831535671</v>
      </c>
      <c r="D11" s="6">
        <f t="shared" si="5"/>
        <v>1</v>
      </c>
      <c r="E11" s="16" t="s">
        <v>10</v>
      </c>
    </row>
    <row r="12" spans="1:5" x14ac:dyDescent="0.35">
      <c r="A12" s="2">
        <f>AVERAGE(A9,A11)</f>
        <v>0.40558208955889613</v>
      </c>
      <c r="B12" s="2">
        <f t="shared" ref="B12:C12" si="6">AVERAGE(B9,B11)</f>
        <v>0.25651233628342557</v>
      </c>
      <c r="C12" s="2">
        <f t="shared" si="6"/>
        <v>0.3379055741576783</v>
      </c>
      <c r="E12" s="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Maige</dc:creator>
  <cp:lastModifiedBy>George Maige</cp:lastModifiedBy>
  <dcterms:created xsi:type="dcterms:W3CDTF">2026-05-21T20:41:03Z</dcterms:created>
  <dcterms:modified xsi:type="dcterms:W3CDTF">2026-05-31T22:49:58Z</dcterms:modified>
</cp:coreProperties>
</file>